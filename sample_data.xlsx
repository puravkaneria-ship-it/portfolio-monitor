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puravkaneria/Documents/Claude/Projects/playing around with claude code/"/>
    </mc:Choice>
  </mc:AlternateContent>
  <xr:revisionPtr revIDLastSave="0" documentId="8_{B9646D15-F7F0-9447-A01A-5F3EE468098E}" xr6:coauthVersionLast="47" xr6:coauthVersionMax="47" xr10:uidLastSave="{00000000-0000-0000-0000-000000000000}"/>
  <bookViews>
    <workbookView xWindow="0" yWindow="880" windowWidth="16380" windowHeight="8200" tabRatio="500" xr2:uid="{00000000-000D-0000-FFFF-FFFF00000000}"/>
  </bookViews>
  <sheets>
    <sheet name="Portfolio" sheetId="1" r:id="rId1"/>
    <sheet name="Single Portco Starter" sheetId="2" r:id="rId2"/>
    <sheet name="Summary" sheetId="3" r:id="rId3"/>
    <sheet name="Field Referenc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3" l="1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B15" i="3"/>
  <c r="B14" i="3"/>
  <c r="B13" i="3"/>
  <c r="B12" i="3"/>
  <c r="B11" i="3"/>
  <c r="B10" i="3"/>
  <c r="B9" i="3"/>
  <c r="B8" i="3"/>
  <c r="B7" i="3"/>
  <c r="B6" i="3"/>
  <c r="B5" i="3"/>
</calcChain>
</file>

<file path=xl/sharedStrings.xml><?xml version="1.0" encoding="utf-8"?>
<sst xmlns="http://schemas.openxmlformats.org/spreadsheetml/2006/main" count="216" uniqueCount="141">
  <si>
    <t>id</t>
  </si>
  <si>
    <t>name</t>
  </si>
  <si>
    <t>sector</t>
  </si>
  <si>
    <t>status</t>
  </si>
  <si>
    <t>vintage</t>
  </si>
  <si>
    <t>invested</t>
  </si>
  <si>
    <t>entryRev</t>
  </si>
  <si>
    <t>entryEbitda</t>
  </si>
  <si>
    <t>entryGM</t>
  </si>
  <si>
    <t>entryDebt</t>
  </si>
  <si>
    <t>entryMult</t>
  </si>
  <si>
    <t>curRev</t>
  </si>
  <si>
    <t>curEbitda</t>
  </si>
  <si>
    <t>curGM</t>
  </si>
  <si>
    <t>curDebt</t>
  </si>
  <si>
    <t>curMult</t>
  </si>
  <si>
    <t>hcEntry</t>
  </si>
  <si>
    <t>hcCur</t>
  </si>
  <si>
    <t>nrr</t>
  </si>
  <si>
    <t>cacPayback</t>
  </si>
  <si>
    <t>notes</t>
  </si>
  <si>
    <t>hc1</t>
  </si>
  <si>
    <t>Meridian Dental Group</t>
  </si>
  <si>
    <t>Healthcare Services</t>
  </si>
  <si>
    <t>Outperforming</t>
  </si>
  <si>
    <t>2022-03-15</t>
  </si>
  <si>
    <t>DSO roll-up; 14 bolt-ons during hold</t>
  </si>
  <si>
    <t>hc2</t>
  </si>
  <si>
    <t>Cascade Behavioral Health</t>
  </si>
  <si>
    <t>2021-09-01</t>
  </si>
  <si>
    <t>In-network with major payors; 4→18 states</t>
  </si>
  <si>
    <t>hc3</t>
  </si>
  <si>
    <t>AltaCare Home Health</t>
  </si>
  <si>
    <t>On plan</t>
  </si>
  <si>
    <t>2020-11-10</t>
  </si>
  <si>
    <t>Route density improved 22%</t>
  </si>
  <si>
    <t>cb1</t>
  </si>
  <si>
    <t>Northwind Coffee Co.</t>
  </si>
  <si>
    <t>Consumer Brands</t>
  </si>
  <si>
    <t>2019-04-08</t>
  </si>
  <si>
    <t>DTC channel scaled 8% → 27% of revenue</t>
  </si>
  <si>
    <t>cb2</t>
  </si>
  <si>
    <t>Verdant Pet Foods</t>
  </si>
  <si>
    <t>2022-08-12</t>
  </si>
  <si>
    <t>Premium pet trend; 2 SKU lines launched</t>
  </si>
  <si>
    <t>cb3</t>
  </si>
  <si>
    <t>Lumen Apparel</t>
  </si>
  <si>
    <t>Underperforming</t>
  </si>
  <si>
    <t>2021-02-22</t>
  </si>
  <si>
    <t>Wholesale channel pressure; ops reset Q2 2026</t>
  </si>
  <si>
    <t>sw1</t>
  </si>
  <si>
    <t>Polaris HRTech</t>
  </si>
  <si>
    <t>B2B Software</t>
  </si>
  <si>
    <t>2021-11-18</t>
  </si>
  <si>
    <t>NRR 118%; expanding Canada/UK</t>
  </si>
  <si>
    <t>sw2</t>
  </si>
  <si>
    <t>Cipher Compliance Software</t>
  </si>
  <si>
    <t>2022-05-04</t>
  </si>
  <si>
    <t>SEC cyber-disclosure tailwind</t>
  </si>
  <si>
    <t>sw3</t>
  </si>
  <si>
    <t>Atlas Field Service Cloud</t>
  </si>
  <si>
    <t>2020-10-09</t>
  </si>
  <si>
    <t>Best NRR; potential strategic exit</t>
  </si>
  <si>
    <t>in1</t>
  </si>
  <si>
    <t>Summit Steel Distribution</t>
  </si>
  <si>
    <t>Industrial Services</t>
  </si>
  <si>
    <t>2021-07-02</t>
  </si>
  <si>
    <t>Two bolt-ons; logistics network optimization</t>
  </si>
  <si>
    <t>fs1</t>
  </si>
  <si>
    <t>Sterling Specialty Insurance</t>
  </si>
  <si>
    <t>Financial Services</t>
  </si>
  <si>
    <t>2021-05-17</t>
  </si>
  <si>
    <t>Hard market; loss ratio improved 480bps</t>
  </si>
  <si>
    <t>fs2</t>
  </si>
  <si>
    <t>Quill Wealth Advisors</t>
  </si>
  <si>
    <t>2019-11-14</t>
  </si>
  <si>
    <t>RIA roll-up; 11 advisor practices added</t>
  </si>
  <si>
    <t>solo1</t>
  </si>
  <si>
    <t>Single-portco demo — drop into the dashboard to see KPI #1.1.1 read '1 portfolio company'</t>
  </si>
  <si>
    <t>North Castle Partners — Fund III Portfolio Summary</t>
  </si>
  <si>
    <t>Live formulas — change Portfolio sheet, this updates automatically</t>
  </si>
  <si>
    <t>1. Fund-level KPIs</t>
  </si>
  <si>
    <t>Portfolio companies</t>
  </si>
  <si>
    <t>Total invested ($M)</t>
  </si>
  <si>
    <t>Total current revenue ($M)</t>
  </si>
  <si>
    <t>Total current EBITDA ($M)</t>
  </si>
  <si>
    <t>Weighted EBITDA margin</t>
  </si>
  <si>
    <t>Aggregate fair value ($M)</t>
  </si>
  <si>
    <t>Gross MOIC</t>
  </si>
  <si>
    <t>EBITDA growth ($M, abs)</t>
  </si>
  <si>
    <t>EBITDA growth (%)</t>
  </si>
  <si>
    <t>Total headcount (current)</t>
  </si>
  <si>
    <t>Net headcount added</t>
  </si>
  <si>
    <t>2. Per-portco quick math (current snapshot)</t>
  </si>
  <si>
    <t>Company</t>
  </si>
  <si>
    <t>MOIC</t>
  </si>
  <si>
    <t>EBITDA margin</t>
  </si>
  <si>
    <t>EBITDA growth</t>
  </si>
  <si>
    <t>Column</t>
  </si>
  <si>
    <t>Type</t>
  </si>
  <si>
    <t>Notes</t>
  </si>
  <si>
    <t>text</t>
  </si>
  <si>
    <t>Unique key. Re-using an id REPLACES that portco on import.</t>
  </si>
  <si>
    <t>Required. Match exactly across uploads to update an existing row.</t>
  </si>
  <si>
    <t>enum</t>
  </si>
  <si>
    <t>Healthcare Services / Consumer Brands / B2B Software / Industrial Services / Financial Services</t>
  </si>
  <si>
    <t>Outperforming / On plan / Underperforming / Distressed</t>
  </si>
  <si>
    <t>YYYY-MM-DD</t>
  </si>
  <si>
    <t>Acquisition date — drives the 'hold years' calculation</t>
  </si>
  <si>
    <t>$M</t>
  </si>
  <si>
    <t>Equity check at close (cumulative if follow-ons)</t>
  </si>
  <si>
    <t>Trailing-twelve revenue at close</t>
  </si>
  <si>
    <t>Same period as entryRev</t>
  </si>
  <si>
    <t>decimal</t>
  </si>
  <si>
    <t>0.55 = 55%</t>
  </si>
  <si>
    <t>Net debt at entry</t>
  </si>
  <si>
    <t>x</t>
  </si>
  <si>
    <t>EV/EBITDA at close</t>
  </si>
  <si>
    <t>Current TTM revenue</t>
  </si>
  <si>
    <t>Current TTM EBITDA</t>
  </si>
  <si>
    <t>Current gross margin</t>
  </si>
  <si>
    <t>Current net debt</t>
  </si>
  <si>
    <t>Current EV/EBITDA mark — your latest fair-value multiple</t>
  </si>
  <si>
    <t>integer</t>
  </si>
  <si>
    <t>Headcount at entry</t>
  </si>
  <si>
    <t>Current headcount</t>
  </si>
  <si>
    <t>%</t>
  </si>
  <si>
    <t>SaaS only — net revenue retention. Leave blank for non-SaaS</t>
  </si>
  <si>
    <t>months</t>
  </si>
  <si>
    <t>SaaS only — CAC payback in months. Leave blank for non-SaaS</t>
  </si>
  <si>
    <t>Free-form commentary surfaced in the per-portco modal</t>
  </si>
  <si>
    <t>DERIVED IN DASHBOARD — DO NOT ENTER:</t>
  </si>
  <si>
    <t>(curEbitda × curMult − curDebt) / invested</t>
  </si>
  <si>
    <t>IRR (approx)</t>
  </si>
  <si>
    <t>MOIC^(1/holdYears) − 1</t>
  </si>
  <si>
    <t>Revenue / EBITDA CAGR</t>
  </si>
  <si>
    <t>(cur / entry)^(1/holdYears) − 1</t>
  </si>
  <si>
    <t>Value bridge</t>
  </si>
  <si>
    <t>(ΔEBITDA × entryMult) + (Δmult × curEbitda) + (entryDebt − curDebt)</t>
  </si>
  <si>
    <t>Marginal benefit</t>
  </si>
  <si>
    <t>curEbitda − entryEbitda × (1 + sector organic CAGR)^holdYears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</si>
</sst>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\x"/>
    <numFmt numFmtId="167" formatCode="\$#,##0.0"/>
    <numFmt numFmtId="168" formatCode="0.00\x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6"/>
      <color rgb="FF1B2547"/>
      <name val="Arial"/>
      <charset val="1"/>
    </font>
    <font>
      <i/>
      <sz val="10"/>
      <color rgb="FF666666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2547"/>
        <bgColor rgb="FF003366"/>
      </patternFill>
    </fill>
    <fill>
      <patternFill patternType="solid">
        <fgColor rgb="FFDDE3F0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3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0" fontId="6" fillId="3" borderId="0" xfId="0" applyFont="1" applyFill="1"/>
    <xf numFmtId="168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5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8" customWidth="1"/>
    <col min="2" max="2" width="28" customWidth="1"/>
    <col min="3" max="3" width="22" customWidth="1"/>
    <col min="4" max="4" width="18" customWidth="1"/>
    <col min="5" max="5" width="12" customWidth="1"/>
    <col min="6" max="7" width="11" customWidth="1"/>
    <col min="8" max="8" width="13" customWidth="1"/>
    <col min="9" max="9" width="10" customWidth="1"/>
    <col min="10" max="12" width="11" customWidth="1"/>
    <col min="13" max="13" width="13" customWidth="1"/>
    <col min="14" max="14" width="10" customWidth="1"/>
    <col min="15" max="18" width="11" customWidth="1"/>
    <col min="19" max="19" width="7" customWidth="1"/>
    <col min="20" max="20" width="13" customWidth="1"/>
    <col min="21" max="21" width="50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>
        <v>85</v>
      </c>
      <c r="G2" s="4">
        <v>120</v>
      </c>
      <c r="H2" s="4">
        <v>18</v>
      </c>
      <c r="I2" s="5">
        <v>0.7</v>
      </c>
      <c r="J2" s="4">
        <v>77</v>
      </c>
      <c r="K2" s="6">
        <v>9</v>
      </c>
      <c r="L2" s="4">
        <v>165</v>
      </c>
      <c r="M2" s="4">
        <v>30</v>
      </c>
      <c r="N2" s="5">
        <v>0.7</v>
      </c>
      <c r="O2" s="4">
        <v>52</v>
      </c>
      <c r="P2" s="6">
        <v>11</v>
      </c>
      <c r="Q2" s="7">
        <v>1100</v>
      </c>
      <c r="R2" s="7">
        <v>1450</v>
      </c>
      <c r="S2" s="3"/>
      <c r="T2" s="3"/>
      <c r="U2" s="3" t="s">
        <v>26</v>
      </c>
    </row>
    <row r="3" spans="1:21" x14ac:dyDescent="0.2">
      <c r="A3" s="3" t="s">
        <v>27</v>
      </c>
      <c r="B3" s="3" t="s">
        <v>28</v>
      </c>
      <c r="C3" s="3" t="s">
        <v>23</v>
      </c>
      <c r="D3" s="3" t="s">
        <v>24</v>
      </c>
      <c r="E3" s="3" t="s">
        <v>29</v>
      </c>
      <c r="F3" s="4">
        <v>62</v>
      </c>
      <c r="G3" s="4">
        <v>90</v>
      </c>
      <c r="H3" s="4">
        <v>11</v>
      </c>
      <c r="I3" s="5">
        <v>0.55000000000000004</v>
      </c>
      <c r="J3" s="4">
        <v>31.5</v>
      </c>
      <c r="K3" s="6">
        <v>8.5</v>
      </c>
      <c r="L3" s="4">
        <v>135</v>
      </c>
      <c r="M3" s="4">
        <v>19</v>
      </c>
      <c r="N3" s="5">
        <v>0.57999999999999996</v>
      </c>
      <c r="O3" s="4">
        <v>20</v>
      </c>
      <c r="P3" s="6">
        <v>10</v>
      </c>
      <c r="Q3" s="7">
        <v>650</v>
      </c>
      <c r="R3" s="7">
        <v>990</v>
      </c>
      <c r="S3" s="3"/>
      <c r="T3" s="3"/>
      <c r="U3" s="3" t="s">
        <v>30</v>
      </c>
    </row>
    <row r="4" spans="1:21" x14ac:dyDescent="0.2">
      <c r="A4" s="3" t="s">
        <v>31</v>
      </c>
      <c r="B4" s="3" t="s">
        <v>32</v>
      </c>
      <c r="C4" s="3" t="s">
        <v>23</v>
      </c>
      <c r="D4" s="3" t="s">
        <v>33</v>
      </c>
      <c r="E4" s="3" t="s">
        <v>34</v>
      </c>
      <c r="F4" s="4">
        <v>40</v>
      </c>
      <c r="G4" s="4">
        <v>55</v>
      </c>
      <c r="H4" s="4">
        <v>7</v>
      </c>
      <c r="I4" s="5">
        <v>0.42</v>
      </c>
      <c r="J4" s="4">
        <v>16</v>
      </c>
      <c r="K4" s="6">
        <v>8</v>
      </c>
      <c r="L4" s="4">
        <v>72</v>
      </c>
      <c r="M4" s="4">
        <v>9.5</v>
      </c>
      <c r="N4" s="5">
        <v>0.43</v>
      </c>
      <c r="O4" s="4">
        <v>11</v>
      </c>
      <c r="P4" s="6">
        <v>8.5</v>
      </c>
      <c r="Q4" s="7">
        <v>380</v>
      </c>
      <c r="R4" s="7">
        <v>510</v>
      </c>
      <c r="S4" s="3"/>
      <c r="T4" s="3"/>
      <c r="U4" s="3" t="s">
        <v>35</v>
      </c>
    </row>
    <row r="5" spans="1:21" x14ac:dyDescent="0.2">
      <c r="A5" s="3" t="s">
        <v>36</v>
      </c>
      <c r="B5" s="3" t="s">
        <v>37</v>
      </c>
      <c r="C5" s="3" t="s">
        <v>38</v>
      </c>
      <c r="D5" s="3" t="s">
        <v>24</v>
      </c>
      <c r="E5" s="3" t="s">
        <v>39</v>
      </c>
      <c r="F5" s="4">
        <v>55</v>
      </c>
      <c r="G5" s="4">
        <v>130</v>
      </c>
      <c r="H5" s="4">
        <v>14</v>
      </c>
      <c r="I5" s="5">
        <v>0.38</v>
      </c>
      <c r="J5" s="4">
        <v>57</v>
      </c>
      <c r="K5" s="6">
        <v>8</v>
      </c>
      <c r="L5" s="4">
        <v>185</v>
      </c>
      <c r="M5" s="4">
        <v>24</v>
      </c>
      <c r="N5" s="5">
        <v>0.42</v>
      </c>
      <c r="O5" s="4">
        <v>40</v>
      </c>
      <c r="P5" s="6">
        <v>10</v>
      </c>
      <c r="Q5" s="7">
        <v>920</v>
      </c>
      <c r="R5" s="7">
        <v>1180</v>
      </c>
      <c r="S5" s="3"/>
      <c r="T5" s="3"/>
      <c r="U5" s="3" t="s">
        <v>40</v>
      </c>
    </row>
    <row r="6" spans="1:21" x14ac:dyDescent="0.2">
      <c r="A6" s="3" t="s">
        <v>41</v>
      </c>
      <c r="B6" s="3" t="s">
        <v>42</v>
      </c>
      <c r="C6" s="3" t="s">
        <v>38</v>
      </c>
      <c r="D6" s="3" t="s">
        <v>24</v>
      </c>
      <c r="E6" s="3" t="s">
        <v>43</v>
      </c>
      <c r="F6" s="4">
        <v>48</v>
      </c>
      <c r="G6" s="4">
        <v>75</v>
      </c>
      <c r="H6" s="4">
        <v>9</v>
      </c>
      <c r="I6" s="5">
        <v>0.34</v>
      </c>
      <c r="J6" s="4">
        <v>33</v>
      </c>
      <c r="K6" s="6">
        <v>9</v>
      </c>
      <c r="L6" s="4">
        <v>105</v>
      </c>
      <c r="M6" s="4">
        <v>14</v>
      </c>
      <c r="N6" s="5">
        <v>0.36</v>
      </c>
      <c r="O6" s="4">
        <v>26</v>
      </c>
      <c r="P6" s="6">
        <v>11</v>
      </c>
      <c r="Q6" s="7">
        <v>310</v>
      </c>
      <c r="R6" s="7">
        <v>415</v>
      </c>
      <c r="S6" s="3"/>
      <c r="T6" s="3"/>
      <c r="U6" s="3" t="s">
        <v>44</v>
      </c>
    </row>
    <row r="7" spans="1:21" x14ac:dyDescent="0.2">
      <c r="A7" s="3" t="s">
        <v>45</v>
      </c>
      <c r="B7" s="3" t="s">
        <v>46</v>
      </c>
      <c r="C7" s="3" t="s">
        <v>38</v>
      </c>
      <c r="D7" s="3" t="s">
        <v>47</v>
      </c>
      <c r="E7" s="3" t="s">
        <v>48</v>
      </c>
      <c r="F7" s="4">
        <v>70</v>
      </c>
      <c r="G7" s="4">
        <v>160</v>
      </c>
      <c r="H7" s="4">
        <v>19</v>
      </c>
      <c r="I7" s="5">
        <v>0.44</v>
      </c>
      <c r="J7" s="4">
        <v>72.5</v>
      </c>
      <c r="K7" s="6">
        <v>7.5</v>
      </c>
      <c r="L7" s="4">
        <v>145</v>
      </c>
      <c r="M7" s="4">
        <v>14</v>
      </c>
      <c r="N7" s="5">
        <v>0.41</v>
      </c>
      <c r="O7" s="4">
        <v>50</v>
      </c>
      <c r="P7" s="6">
        <v>6.5</v>
      </c>
      <c r="Q7" s="7">
        <v>1450</v>
      </c>
      <c r="R7" s="7">
        <v>1180</v>
      </c>
      <c r="S7" s="3"/>
      <c r="T7" s="3"/>
      <c r="U7" s="3" t="s">
        <v>49</v>
      </c>
    </row>
    <row r="8" spans="1:21" x14ac:dyDescent="0.2">
      <c r="A8" s="3" t="s">
        <v>50</v>
      </c>
      <c r="B8" s="3" t="s">
        <v>51</v>
      </c>
      <c r="C8" s="3" t="s">
        <v>52</v>
      </c>
      <c r="D8" s="3" t="s">
        <v>24</v>
      </c>
      <c r="E8" s="3" t="s">
        <v>53</v>
      </c>
      <c r="F8" s="4">
        <v>96</v>
      </c>
      <c r="G8" s="4">
        <v>18</v>
      </c>
      <c r="H8" s="4">
        <v>3</v>
      </c>
      <c r="I8" s="5">
        <v>0.74</v>
      </c>
      <c r="J8" s="4">
        <v>0</v>
      </c>
      <c r="K8" s="6">
        <v>32</v>
      </c>
      <c r="L8" s="4">
        <v>42</v>
      </c>
      <c r="M8" s="4">
        <v>9</v>
      </c>
      <c r="N8" s="5">
        <v>0.78</v>
      </c>
      <c r="O8" s="4">
        <v>0</v>
      </c>
      <c r="P8" s="6">
        <v>28</v>
      </c>
      <c r="Q8" s="7">
        <v>160</v>
      </c>
      <c r="R8" s="7">
        <v>280</v>
      </c>
      <c r="S8" s="3">
        <v>118</v>
      </c>
      <c r="T8" s="3">
        <v>18</v>
      </c>
      <c r="U8" s="3" t="s">
        <v>54</v>
      </c>
    </row>
    <row r="9" spans="1:21" x14ac:dyDescent="0.2">
      <c r="A9" s="3" t="s">
        <v>55</v>
      </c>
      <c r="B9" s="3" t="s">
        <v>56</v>
      </c>
      <c r="C9" s="3" t="s">
        <v>52</v>
      </c>
      <c r="D9" s="3" t="s">
        <v>33</v>
      </c>
      <c r="E9" s="3" t="s">
        <v>57</v>
      </c>
      <c r="F9" s="4">
        <v>60</v>
      </c>
      <c r="G9" s="4">
        <v>12</v>
      </c>
      <c r="H9" s="4">
        <v>2</v>
      </c>
      <c r="I9" s="5">
        <v>0.76</v>
      </c>
      <c r="J9" s="4">
        <v>0</v>
      </c>
      <c r="K9" s="6">
        <v>30</v>
      </c>
      <c r="L9" s="4">
        <v>22</v>
      </c>
      <c r="M9" s="4">
        <v>5</v>
      </c>
      <c r="N9" s="5">
        <v>0.79</v>
      </c>
      <c r="O9" s="4">
        <v>0</v>
      </c>
      <c r="P9" s="6">
        <v>28</v>
      </c>
      <c r="Q9" s="7">
        <v>95</v>
      </c>
      <c r="R9" s="7">
        <v>160</v>
      </c>
      <c r="S9" s="3">
        <v>112</v>
      </c>
      <c r="T9" s="3">
        <v>22</v>
      </c>
      <c r="U9" s="3" t="s">
        <v>58</v>
      </c>
    </row>
    <row r="10" spans="1:21" x14ac:dyDescent="0.2">
      <c r="A10" s="3" t="s">
        <v>59</v>
      </c>
      <c r="B10" s="3" t="s">
        <v>60</v>
      </c>
      <c r="C10" s="3" t="s">
        <v>52</v>
      </c>
      <c r="D10" s="3" t="s">
        <v>24</v>
      </c>
      <c r="E10" s="3" t="s">
        <v>61</v>
      </c>
      <c r="F10" s="4">
        <v>70</v>
      </c>
      <c r="G10" s="4">
        <v>18</v>
      </c>
      <c r="H10" s="4">
        <v>2.5</v>
      </c>
      <c r="I10" s="5">
        <v>0.72</v>
      </c>
      <c r="J10" s="4">
        <v>0</v>
      </c>
      <c r="K10" s="6">
        <v>28</v>
      </c>
      <c r="L10" s="4">
        <v>48</v>
      </c>
      <c r="M10" s="4">
        <v>12</v>
      </c>
      <c r="N10" s="5">
        <v>0.79</v>
      </c>
      <c r="O10" s="4">
        <v>0</v>
      </c>
      <c r="P10" s="6">
        <v>26</v>
      </c>
      <c r="Q10" s="7">
        <v>140</v>
      </c>
      <c r="R10" s="7">
        <v>280</v>
      </c>
      <c r="S10" s="3">
        <v>121</v>
      </c>
      <c r="T10" s="3">
        <v>14</v>
      </c>
      <c r="U10" s="3" t="s">
        <v>62</v>
      </c>
    </row>
    <row r="11" spans="1:21" x14ac:dyDescent="0.2">
      <c r="A11" s="3" t="s">
        <v>63</v>
      </c>
      <c r="B11" s="3" t="s">
        <v>64</v>
      </c>
      <c r="C11" s="3" t="s">
        <v>65</v>
      </c>
      <c r="D11" s="3" t="s">
        <v>24</v>
      </c>
      <c r="E11" s="3" t="s">
        <v>66</v>
      </c>
      <c r="F11" s="4">
        <v>72</v>
      </c>
      <c r="G11" s="4">
        <v>210</v>
      </c>
      <c r="H11" s="4">
        <v>20</v>
      </c>
      <c r="I11" s="5">
        <v>0.16</v>
      </c>
      <c r="J11" s="4">
        <v>68</v>
      </c>
      <c r="K11" s="6">
        <v>7</v>
      </c>
      <c r="L11" s="4">
        <v>290</v>
      </c>
      <c r="M11" s="4">
        <v>36</v>
      </c>
      <c r="N11" s="5">
        <v>0.18</v>
      </c>
      <c r="O11" s="4">
        <v>50</v>
      </c>
      <c r="P11" s="6">
        <v>8</v>
      </c>
      <c r="Q11" s="7">
        <v>520</v>
      </c>
      <c r="R11" s="7">
        <v>640</v>
      </c>
      <c r="S11" s="3"/>
      <c r="T11" s="3"/>
      <c r="U11" s="3" t="s">
        <v>67</v>
      </c>
    </row>
    <row r="12" spans="1:21" x14ac:dyDescent="0.2">
      <c r="A12" s="3" t="s">
        <v>68</v>
      </c>
      <c r="B12" s="3" t="s">
        <v>69</v>
      </c>
      <c r="C12" s="3" t="s">
        <v>70</v>
      </c>
      <c r="D12" s="3" t="s">
        <v>24</v>
      </c>
      <c r="E12" s="3" t="s">
        <v>71</v>
      </c>
      <c r="F12" s="4">
        <v>90</v>
      </c>
      <c r="G12" s="4">
        <v>75</v>
      </c>
      <c r="H12" s="4">
        <v>10.5</v>
      </c>
      <c r="I12" s="5">
        <v>0.62</v>
      </c>
      <c r="J12" s="4">
        <v>25.5</v>
      </c>
      <c r="K12" s="6">
        <v>11</v>
      </c>
      <c r="L12" s="4">
        <v>118</v>
      </c>
      <c r="M12" s="4">
        <v>20</v>
      </c>
      <c r="N12" s="5">
        <v>0.65</v>
      </c>
      <c r="O12" s="4">
        <v>18</v>
      </c>
      <c r="P12" s="6">
        <v>13</v>
      </c>
      <c r="Q12" s="7">
        <v>240</v>
      </c>
      <c r="R12" s="7">
        <v>330</v>
      </c>
      <c r="S12" s="3"/>
      <c r="T12" s="3"/>
      <c r="U12" s="3" t="s">
        <v>72</v>
      </c>
    </row>
    <row r="13" spans="1:21" x14ac:dyDescent="0.2">
      <c r="A13" s="3" t="s">
        <v>73</v>
      </c>
      <c r="B13" s="3" t="s">
        <v>74</v>
      </c>
      <c r="C13" s="3" t="s">
        <v>70</v>
      </c>
      <c r="D13" s="3" t="s">
        <v>24</v>
      </c>
      <c r="E13" s="3" t="s">
        <v>75</v>
      </c>
      <c r="F13" s="4">
        <v>80</v>
      </c>
      <c r="G13" s="4">
        <v>62</v>
      </c>
      <c r="H13" s="4">
        <v>10</v>
      </c>
      <c r="I13" s="5">
        <v>0.68</v>
      </c>
      <c r="J13" s="4">
        <v>20</v>
      </c>
      <c r="K13" s="6">
        <v>10</v>
      </c>
      <c r="L13" s="4">
        <v>108</v>
      </c>
      <c r="M13" s="4">
        <v>22</v>
      </c>
      <c r="N13" s="5">
        <v>0.71</v>
      </c>
      <c r="O13" s="4">
        <v>15</v>
      </c>
      <c r="P13" s="6">
        <v>12</v>
      </c>
      <c r="Q13" s="7">
        <v>165</v>
      </c>
      <c r="R13" s="7">
        <v>240</v>
      </c>
      <c r="S13" s="3"/>
      <c r="T13" s="3"/>
      <c r="U13" s="3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8" customWidth="1"/>
    <col min="2" max="2" width="28" customWidth="1"/>
    <col min="3" max="3" width="22" customWidth="1"/>
    <col min="4" max="4" width="18" customWidth="1"/>
    <col min="5" max="5" width="12" customWidth="1"/>
    <col min="6" max="7" width="11" customWidth="1"/>
    <col min="8" max="8" width="13" customWidth="1"/>
    <col min="9" max="9" width="10" customWidth="1"/>
    <col min="10" max="12" width="11" customWidth="1"/>
    <col min="13" max="13" width="13" customWidth="1"/>
    <col min="14" max="14" width="10" customWidth="1"/>
    <col min="15" max="18" width="11" customWidth="1"/>
    <col min="19" max="19" width="7" customWidth="1"/>
    <col min="20" max="20" width="13" customWidth="1"/>
    <col min="21" max="21" width="50" customWidth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3" t="s">
        <v>77</v>
      </c>
      <c r="B2" s="3" t="s">
        <v>60</v>
      </c>
      <c r="C2" s="3" t="s">
        <v>52</v>
      </c>
      <c r="D2" s="3" t="s">
        <v>24</v>
      </c>
      <c r="E2" s="3" t="s">
        <v>61</v>
      </c>
      <c r="F2" s="3">
        <v>70</v>
      </c>
      <c r="G2" s="3">
        <v>18</v>
      </c>
      <c r="H2" s="3">
        <v>2.5</v>
      </c>
      <c r="I2" s="3">
        <v>0.72</v>
      </c>
      <c r="J2" s="3">
        <v>0</v>
      </c>
      <c r="K2" s="3">
        <v>28</v>
      </c>
      <c r="L2" s="3">
        <v>48</v>
      </c>
      <c r="M2" s="3">
        <v>12</v>
      </c>
      <c r="N2" s="3">
        <v>0.79</v>
      </c>
      <c r="O2" s="3">
        <v>0</v>
      </c>
      <c r="P2" s="3">
        <v>26</v>
      </c>
      <c r="Q2" s="3">
        <v>140</v>
      </c>
      <c r="R2" s="3">
        <v>280</v>
      </c>
      <c r="S2" s="3">
        <v>121</v>
      </c>
      <c r="T2" s="3">
        <v>14</v>
      </c>
      <c r="U2" s="3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/>
  </sheetViews>
  <sheetFormatPr baseColWidth="10" defaultColWidth="8.6640625" defaultRowHeight="15" x14ac:dyDescent="0.2"/>
  <cols>
    <col min="1" max="1" width="32" customWidth="1"/>
    <col min="2" max="4" width="18" customWidth="1"/>
  </cols>
  <sheetData>
    <row r="1" spans="1:4" ht="20" x14ac:dyDescent="0.2">
      <c r="A1" s="8" t="s">
        <v>79</v>
      </c>
    </row>
    <row r="2" spans="1:4" x14ac:dyDescent="0.2">
      <c r="A2" s="9" t="s">
        <v>80</v>
      </c>
    </row>
    <row r="4" spans="1:4" ht="16" x14ac:dyDescent="0.2">
      <c r="A4" s="1" t="s">
        <v>81</v>
      </c>
      <c r="B4" s="1"/>
      <c r="C4" s="1"/>
      <c r="D4" s="1"/>
    </row>
    <row r="5" spans="1:4" x14ac:dyDescent="0.2">
      <c r="A5" s="3" t="s">
        <v>82</v>
      </c>
      <c r="B5" s="10">
        <f>COUNTA(Portfolio!B2:B13)</f>
        <v>12</v>
      </c>
    </row>
    <row r="6" spans="1:4" x14ac:dyDescent="0.2">
      <c r="A6" s="3" t="s">
        <v>83</v>
      </c>
      <c r="B6" s="11">
        <f>SUM(Portfolio!F2:F13)</f>
        <v>828</v>
      </c>
    </row>
    <row r="7" spans="1:4" x14ac:dyDescent="0.2">
      <c r="A7" s="3" t="s">
        <v>84</v>
      </c>
      <c r="B7" s="11">
        <f>SUM(Portfolio!L2:L13)</f>
        <v>1435</v>
      </c>
    </row>
    <row r="8" spans="1:4" x14ac:dyDescent="0.2">
      <c r="A8" s="3" t="s">
        <v>85</v>
      </c>
      <c r="B8" s="11">
        <f>SUM(Portfolio!M2:M13)</f>
        <v>214.5</v>
      </c>
    </row>
    <row r="9" spans="1:4" x14ac:dyDescent="0.2">
      <c r="A9" s="3" t="s">
        <v>86</v>
      </c>
      <c r="B9" s="12">
        <f>SUM(Portfolio!M2:M13)/SUM(Portfolio!L2:L13)</f>
        <v>0.14947735191637632</v>
      </c>
    </row>
    <row r="10" spans="1:4" x14ac:dyDescent="0.2">
      <c r="A10" s="3" t="s">
        <v>87</v>
      </c>
      <c r="B10" s="11">
        <f>SUMPRODUCT(Portfolio!M2:M13,Portfolio!P2:P13)-SUM(Portfolio!O2:O13)</f>
        <v>2319.75</v>
      </c>
    </row>
    <row r="11" spans="1:4" x14ac:dyDescent="0.2">
      <c r="A11" s="3" t="s">
        <v>88</v>
      </c>
      <c r="B11" s="13">
        <f>(SUMPRODUCT(Portfolio!M2:M13,Portfolio!P2:P13)-SUM(Portfolio!O2:O13))/SUM(Portfolio!F2:F13)</f>
        <v>2.8016304347826089</v>
      </c>
    </row>
    <row r="12" spans="1:4" x14ac:dyDescent="0.2">
      <c r="A12" s="3" t="s">
        <v>89</v>
      </c>
      <c r="B12" s="11">
        <f>SUM(Portfolio!M2:M13)-SUM(Portfolio!H2:H13)</f>
        <v>88.5</v>
      </c>
    </row>
    <row r="13" spans="1:4" x14ac:dyDescent="0.2">
      <c r="A13" s="3" t="s">
        <v>90</v>
      </c>
      <c r="B13" s="12">
        <f>SUM(Portfolio!M2:M13)/SUM(Portfolio!H2:H13)-1</f>
        <v>0.70238095238095233</v>
      </c>
    </row>
    <row r="14" spans="1:4" x14ac:dyDescent="0.2">
      <c r="A14" s="3" t="s">
        <v>91</v>
      </c>
      <c r="B14" s="10">
        <f>SUM(Portfolio!R2:R13)</f>
        <v>7655</v>
      </c>
    </row>
    <row r="15" spans="1:4" x14ac:dyDescent="0.2">
      <c r="A15" s="3" t="s">
        <v>92</v>
      </c>
      <c r="B15" s="10">
        <f>SUM(Portfolio!R2:R13)-SUM(Portfolio!Q2:Q13)</f>
        <v>1525</v>
      </c>
    </row>
    <row r="17" spans="1:4" ht="16" x14ac:dyDescent="0.2">
      <c r="A17" s="1" t="s">
        <v>93</v>
      </c>
      <c r="B17" s="1"/>
      <c r="C17" s="1"/>
      <c r="D17" s="1"/>
    </row>
    <row r="18" spans="1:4" x14ac:dyDescent="0.2">
      <c r="A18" s="14" t="s">
        <v>94</v>
      </c>
      <c r="B18" s="14" t="s">
        <v>95</v>
      </c>
      <c r="C18" s="14" t="s">
        <v>96</v>
      </c>
      <c r="D18" s="14" t="s">
        <v>97</v>
      </c>
    </row>
    <row r="19" spans="1:4" x14ac:dyDescent="0.2">
      <c r="A19" s="3" t="str">
        <f>Portfolio!B2</f>
        <v>Meridian Dental Group</v>
      </c>
      <c r="B19" s="15">
        <f>(Portfolio!M2*Portfolio!P2-Portfolio!O2)/Portfolio!F2</f>
        <v>3.2705882352941176</v>
      </c>
      <c r="C19" s="16">
        <f>Portfolio!M2/Portfolio!L2</f>
        <v>0.18181818181818182</v>
      </c>
      <c r="D19" s="16">
        <f>Portfolio!M2/Portfolio!H2-1</f>
        <v>0.66666666666666674</v>
      </c>
    </row>
    <row r="20" spans="1:4" x14ac:dyDescent="0.2">
      <c r="A20" s="3" t="str">
        <f>Portfolio!B3</f>
        <v>Cascade Behavioral Health</v>
      </c>
      <c r="B20" s="15">
        <f>(Portfolio!M3*Portfolio!P3-Portfolio!O3)/Portfolio!F3</f>
        <v>2.7419354838709675</v>
      </c>
      <c r="C20" s="16">
        <f>Portfolio!M3/Portfolio!L3</f>
        <v>0.14074074074074075</v>
      </c>
      <c r="D20" s="16">
        <f>Portfolio!M3/Portfolio!H3-1</f>
        <v>0.72727272727272729</v>
      </c>
    </row>
    <row r="21" spans="1:4" x14ac:dyDescent="0.2">
      <c r="A21" s="3" t="str">
        <f>Portfolio!B4</f>
        <v>AltaCare Home Health</v>
      </c>
      <c r="B21" s="15">
        <f>(Portfolio!M4*Portfolio!P4-Portfolio!O4)/Portfolio!F4</f>
        <v>1.7437499999999999</v>
      </c>
      <c r="C21" s="16">
        <f>Portfolio!M4/Portfolio!L4</f>
        <v>0.13194444444444445</v>
      </c>
      <c r="D21" s="16">
        <f>Portfolio!M4/Portfolio!H4-1</f>
        <v>0.35714285714285721</v>
      </c>
    </row>
    <row r="22" spans="1:4" x14ac:dyDescent="0.2">
      <c r="A22" s="3" t="str">
        <f>Portfolio!B5</f>
        <v>Northwind Coffee Co.</v>
      </c>
      <c r="B22" s="15">
        <f>(Portfolio!M5*Portfolio!P5-Portfolio!O5)/Portfolio!F5</f>
        <v>3.6363636363636362</v>
      </c>
      <c r="C22" s="16">
        <f>Portfolio!M5/Portfolio!L5</f>
        <v>0.12972972972972974</v>
      </c>
      <c r="D22" s="16">
        <f>Portfolio!M5/Portfolio!H5-1</f>
        <v>0.71428571428571419</v>
      </c>
    </row>
    <row r="23" spans="1:4" x14ac:dyDescent="0.2">
      <c r="A23" s="3" t="str">
        <f>Portfolio!B6</f>
        <v>Verdant Pet Foods</v>
      </c>
      <c r="B23" s="15">
        <f>(Portfolio!M6*Portfolio!P6-Portfolio!O6)/Portfolio!F6</f>
        <v>2.6666666666666665</v>
      </c>
      <c r="C23" s="16">
        <f>Portfolio!M6/Portfolio!L6</f>
        <v>0.13333333333333333</v>
      </c>
      <c r="D23" s="16">
        <f>Portfolio!M6/Portfolio!H6-1</f>
        <v>0.55555555555555558</v>
      </c>
    </row>
    <row r="24" spans="1:4" x14ac:dyDescent="0.2">
      <c r="A24" s="3" t="str">
        <f>Portfolio!B7</f>
        <v>Lumen Apparel</v>
      </c>
      <c r="B24" s="15">
        <f>(Portfolio!M7*Portfolio!P7-Portfolio!O7)/Portfolio!F7</f>
        <v>0.58571428571428574</v>
      </c>
      <c r="C24" s="16">
        <f>Portfolio!M7/Portfolio!L7</f>
        <v>9.6551724137931033E-2</v>
      </c>
      <c r="D24" s="16">
        <f>Portfolio!M7/Portfolio!H7-1</f>
        <v>-0.26315789473684215</v>
      </c>
    </row>
    <row r="25" spans="1:4" x14ac:dyDescent="0.2">
      <c r="A25" s="3" t="str">
        <f>Portfolio!B8</f>
        <v>Polaris HRTech</v>
      </c>
      <c r="B25" s="15">
        <f>(Portfolio!M8*Portfolio!P8-Portfolio!O8)/Portfolio!F8</f>
        <v>2.625</v>
      </c>
      <c r="C25" s="16">
        <f>Portfolio!M8/Portfolio!L8</f>
        <v>0.21428571428571427</v>
      </c>
      <c r="D25" s="16">
        <f>Portfolio!M8/Portfolio!H8-1</f>
        <v>2</v>
      </c>
    </row>
    <row r="26" spans="1:4" x14ac:dyDescent="0.2">
      <c r="A26" s="3" t="str">
        <f>Portfolio!B9</f>
        <v>Cipher Compliance Software</v>
      </c>
      <c r="B26" s="15">
        <f>(Portfolio!M9*Portfolio!P9-Portfolio!O9)/Portfolio!F9</f>
        <v>2.3333333333333335</v>
      </c>
      <c r="C26" s="16">
        <f>Portfolio!M9/Portfolio!L9</f>
        <v>0.22727272727272727</v>
      </c>
      <c r="D26" s="16">
        <f>Portfolio!M9/Portfolio!H9-1</f>
        <v>1.5</v>
      </c>
    </row>
    <row r="27" spans="1:4" x14ac:dyDescent="0.2">
      <c r="A27" s="3" t="str">
        <f>Portfolio!B10</f>
        <v>Atlas Field Service Cloud</v>
      </c>
      <c r="B27" s="15">
        <f>(Portfolio!M10*Portfolio!P10-Portfolio!O10)/Portfolio!F10</f>
        <v>4.4571428571428573</v>
      </c>
      <c r="C27" s="16">
        <f>Portfolio!M10/Portfolio!L10</f>
        <v>0.25</v>
      </c>
      <c r="D27" s="16">
        <f>Portfolio!M10/Portfolio!H10-1</f>
        <v>3.8</v>
      </c>
    </row>
    <row r="28" spans="1:4" x14ac:dyDescent="0.2">
      <c r="A28" s="3" t="str">
        <f>Portfolio!B11</f>
        <v>Summit Steel Distribution</v>
      </c>
      <c r="B28" s="15">
        <f>(Portfolio!M11*Portfolio!P11-Portfolio!O11)/Portfolio!F11</f>
        <v>3.3055555555555554</v>
      </c>
      <c r="C28" s="16">
        <f>Portfolio!M11/Portfolio!L11</f>
        <v>0.12413793103448276</v>
      </c>
      <c r="D28" s="16">
        <f>Portfolio!M11/Portfolio!H11-1</f>
        <v>0.8</v>
      </c>
    </row>
    <row r="29" spans="1:4" x14ac:dyDescent="0.2">
      <c r="A29" s="3" t="str">
        <f>Portfolio!B12</f>
        <v>Sterling Specialty Insurance</v>
      </c>
      <c r="B29" s="15">
        <f>(Portfolio!M12*Portfolio!P12-Portfolio!O12)/Portfolio!F12</f>
        <v>2.6888888888888891</v>
      </c>
      <c r="C29" s="16">
        <f>Portfolio!M12/Portfolio!L12</f>
        <v>0.16949152542372881</v>
      </c>
      <c r="D29" s="16">
        <f>Portfolio!M12/Portfolio!H12-1</f>
        <v>0.90476190476190466</v>
      </c>
    </row>
    <row r="30" spans="1:4" x14ac:dyDescent="0.2">
      <c r="A30" s="3" t="str">
        <f>Portfolio!B13</f>
        <v>Quill Wealth Advisors</v>
      </c>
      <c r="B30" s="15">
        <f>(Portfolio!M13*Portfolio!P13-Portfolio!O13)/Portfolio!F13</f>
        <v>3.1124999999999998</v>
      </c>
      <c r="C30" s="16">
        <f>Portfolio!M13/Portfolio!L13</f>
        <v>0.20370370370370369</v>
      </c>
      <c r="D30" s="16">
        <f>Portfolio!M13/Portfolio!H13-1</f>
        <v>1.2000000000000002</v>
      </c>
    </row>
  </sheetData>
  <mergeCells count="2">
    <mergeCell ref="A4:D4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4" customWidth="1"/>
    <col min="3" max="3" width="80" customWidth="1"/>
  </cols>
  <sheetData>
    <row r="1" spans="1:3" x14ac:dyDescent="0.2">
      <c r="A1" s="17" t="s">
        <v>98</v>
      </c>
      <c r="B1" s="17" t="s">
        <v>99</v>
      </c>
      <c r="C1" s="17" t="s">
        <v>100</v>
      </c>
    </row>
    <row r="2" spans="1:3" x14ac:dyDescent="0.2">
      <c r="A2" s="18" t="s">
        <v>0</v>
      </c>
      <c r="B2" s="18" t="s">
        <v>101</v>
      </c>
      <c r="C2" s="18" t="s">
        <v>102</v>
      </c>
    </row>
    <row r="3" spans="1:3" x14ac:dyDescent="0.2">
      <c r="A3" s="18" t="s">
        <v>1</v>
      </c>
      <c r="B3" s="18" t="s">
        <v>101</v>
      </c>
      <c r="C3" s="18" t="s">
        <v>103</v>
      </c>
    </row>
    <row r="4" spans="1:3" x14ac:dyDescent="0.2">
      <c r="A4" s="18" t="s">
        <v>2</v>
      </c>
      <c r="B4" s="18" t="s">
        <v>104</v>
      </c>
      <c r="C4" s="18" t="s">
        <v>105</v>
      </c>
    </row>
    <row r="5" spans="1:3" x14ac:dyDescent="0.2">
      <c r="A5" s="18" t="s">
        <v>3</v>
      </c>
      <c r="B5" s="18" t="s">
        <v>104</v>
      </c>
      <c r="C5" s="18" t="s">
        <v>106</v>
      </c>
    </row>
    <row r="6" spans="1:3" x14ac:dyDescent="0.2">
      <c r="A6" s="18" t="s">
        <v>4</v>
      </c>
      <c r="B6" s="18" t="s">
        <v>107</v>
      </c>
      <c r="C6" s="18" t="s">
        <v>108</v>
      </c>
    </row>
    <row r="7" spans="1:3" x14ac:dyDescent="0.2">
      <c r="A7" s="18" t="s">
        <v>5</v>
      </c>
      <c r="B7" s="18" t="s">
        <v>109</v>
      </c>
      <c r="C7" s="18" t="s">
        <v>110</v>
      </c>
    </row>
    <row r="8" spans="1:3" x14ac:dyDescent="0.2">
      <c r="A8" s="18" t="s">
        <v>6</v>
      </c>
      <c r="B8" s="18" t="s">
        <v>109</v>
      </c>
      <c r="C8" s="18" t="s">
        <v>111</v>
      </c>
    </row>
    <row r="9" spans="1:3" x14ac:dyDescent="0.2">
      <c r="A9" s="18" t="s">
        <v>7</v>
      </c>
      <c r="B9" s="18" t="s">
        <v>109</v>
      </c>
      <c r="C9" s="18" t="s">
        <v>112</v>
      </c>
    </row>
    <row r="10" spans="1:3" x14ac:dyDescent="0.2">
      <c r="A10" s="18" t="s">
        <v>8</v>
      </c>
      <c r="B10" s="18" t="s">
        <v>113</v>
      </c>
      <c r="C10" s="18" t="s">
        <v>114</v>
      </c>
    </row>
    <row r="11" spans="1:3" x14ac:dyDescent="0.2">
      <c r="A11" s="18" t="s">
        <v>9</v>
      </c>
      <c r="B11" s="18" t="s">
        <v>109</v>
      </c>
      <c r="C11" s="18" t="s">
        <v>115</v>
      </c>
    </row>
    <row r="12" spans="1:3" x14ac:dyDescent="0.2">
      <c r="A12" s="18" t="s">
        <v>10</v>
      </c>
      <c r="B12" s="18" t="s">
        <v>116</v>
      </c>
      <c r="C12" s="18" t="s">
        <v>117</v>
      </c>
    </row>
    <row r="13" spans="1:3" x14ac:dyDescent="0.2">
      <c r="A13" s="18" t="s">
        <v>11</v>
      </c>
      <c r="B13" s="18" t="s">
        <v>109</v>
      </c>
      <c r="C13" s="18" t="s">
        <v>118</v>
      </c>
    </row>
    <row r="14" spans="1:3" x14ac:dyDescent="0.2">
      <c r="A14" s="18" t="s">
        <v>12</v>
      </c>
      <c r="B14" s="18" t="s">
        <v>109</v>
      </c>
      <c r="C14" s="18" t="s">
        <v>119</v>
      </c>
    </row>
    <row r="15" spans="1:3" x14ac:dyDescent="0.2">
      <c r="A15" s="18" t="s">
        <v>13</v>
      </c>
      <c r="B15" s="18" t="s">
        <v>113</v>
      </c>
      <c r="C15" s="18" t="s">
        <v>120</v>
      </c>
    </row>
    <row r="16" spans="1:3" x14ac:dyDescent="0.2">
      <c r="A16" s="18" t="s">
        <v>14</v>
      </c>
      <c r="B16" s="18" t="s">
        <v>109</v>
      </c>
      <c r="C16" s="18" t="s">
        <v>121</v>
      </c>
    </row>
    <row r="17" spans="1:3" x14ac:dyDescent="0.2">
      <c r="A17" s="18" t="s">
        <v>15</v>
      </c>
      <c r="B17" s="18" t="s">
        <v>116</v>
      </c>
      <c r="C17" s="18" t="s">
        <v>122</v>
      </c>
    </row>
    <row r="18" spans="1:3" x14ac:dyDescent="0.2">
      <c r="A18" s="18" t="s">
        <v>16</v>
      </c>
      <c r="B18" s="18" t="s">
        <v>123</v>
      </c>
      <c r="C18" s="18" t="s">
        <v>124</v>
      </c>
    </row>
    <row r="19" spans="1:3" x14ac:dyDescent="0.2">
      <c r="A19" s="18" t="s">
        <v>17</v>
      </c>
      <c r="B19" s="18" t="s">
        <v>123</v>
      </c>
      <c r="C19" s="18" t="s">
        <v>125</v>
      </c>
    </row>
    <row r="20" spans="1:3" x14ac:dyDescent="0.2">
      <c r="A20" s="18" t="s">
        <v>18</v>
      </c>
      <c r="B20" s="18" t="s">
        <v>126</v>
      </c>
      <c r="C20" s="18" t="s">
        <v>127</v>
      </c>
    </row>
    <row r="21" spans="1:3" x14ac:dyDescent="0.2">
      <c r="A21" s="18" t="s">
        <v>19</v>
      </c>
      <c r="B21" s="18" t="s">
        <v>128</v>
      </c>
      <c r="C21" s="18" t="s">
        <v>129</v>
      </c>
    </row>
    <row r="22" spans="1:3" x14ac:dyDescent="0.2">
      <c r="A22" s="18" t="s">
        <v>20</v>
      </c>
      <c r="B22" s="18" t="s">
        <v>101</v>
      </c>
      <c r="C22" s="18" t="s">
        <v>130</v>
      </c>
    </row>
    <row r="23" spans="1:3" x14ac:dyDescent="0.2">
      <c r="A23" s="18"/>
      <c r="B23" s="18"/>
      <c r="C23" s="18"/>
    </row>
    <row r="24" spans="1:3" ht="42" x14ac:dyDescent="0.2">
      <c r="A24" s="18" t="s">
        <v>131</v>
      </c>
      <c r="B24" s="18"/>
      <c r="C24" s="18"/>
    </row>
    <row r="25" spans="1:3" x14ac:dyDescent="0.2">
      <c r="A25" s="18" t="s">
        <v>95</v>
      </c>
      <c r="B25" s="18"/>
      <c r="C25" s="18" t="s">
        <v>132</v>
      </c>
    </row>
    <row r="26" spans="1:3" x14ac:dyDescent="0.2">
      <c r="A26" s="18" t="s">
        <v>133</v>
      </c>
      <c r="B26" s="18"/>
      <c r="C26" s="18" t="s">
        <v>134</v>
      </c>
    </row>
    <row r="27" spans="1:3" x14ac:dyDescent="0.2">
      <c r="A27" s="18" t="s">
        <v>135</v>
      </c>
      <c r="B27" s="18"/>
      <c r="C27" s="18" t="s">
        <v>136</v>
      </c>
    </row>
    <row r="28" spans="1:3" x14ac:dyDescent="0.2">
      <c r="A28" s="18" t="s">
        <v>137</v>
      </c>
      <c r="B28" s="18"/>
      <c r="C28" s="18" t="s">
        <v>138</v>
      </c>
    </row>
    <row r="29" spans="1:3" x14ac:dyDescent="0.2">
      <c r="A29" s="18" t="s">
        <v>139</v>
      </c>
      <c r="B29" s="18"/>
      <c r="C29" s="18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</vt:lpstr>
      <vt:lpstr>Single Portco Starter</vt:lpstr>
      <vt:lpstr>Summary</vt:lpstr>
      <vt:lpstr>Field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Kaneria, Purav</cp:lastModifiedBy>
  <cp:revision>0</cp:revision>
  <dcterms:created xsi:type="dcterms:W3CDTF">2026-05-12T23:58:15Z</dcterms:created>
  <dcterms:modified xsi:type="dcterms:W3CDTF">2026-05-13T00:02:37Z</dcterms:modified>
  <dc:language>en-US</dc:language>
</cp:coreProperties>
</file>